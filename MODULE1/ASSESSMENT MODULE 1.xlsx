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CS\Downloads\"/>
    </mc:Choice>
  </mc:AlternateContent>
  <xr:revisionPtr revIDLastSave="0" documentId="8_{EF166F21-712D-4865-9666-C4C254F731C8}" xr6:coauthVersionLast="47" xr6:coauthVersionMax="47" xr10:uidLastSave="{00000000-0000-0000-0000-000000000000}"/>
  <bookViews>
    <workbookView xWindow="-120" yWindow="-120" windowWidth="20730" windowHeight="11160" xr2:uid="{670A6E9F-43D4-4D64-B175-C6BE0A4B332C}"/>
  </bookViews>
  <sheets>
    <sheet name="MODULE 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5" i="1" l="1"/>
  <c r="C44" i="1"/>
  <c r="B45" i="1"/>
  <c r="B44" i="1"/>
  <c r="B39" i="1"/>
  <c r="C39" i="1"/>
  <c r="C38" i="1"/>
  <c r="B38" i="1"/>
  <c r="C40" i="1"/>
  <c r="F45" i="1" l="1"/>
  <c r="D32" i="1" l="1"/>
  <c r="D31" i="1"/>
  <c r="B17" i="1"/>
  <c r="B16" i="1"/>
  <c r="B15" i="1"/>
  <c r="B14" i="1"/>
</calcChain>
</file>

<file path=xl/sharedStrings.xml><?xml version="1.0" encoding="utf-8"?>
<sst xmlns="http://schemas.openxmlformats.org/spreadsheetml/2006/main" count="40" uniqueCount="27">
  <si>
    <t>Module 1. Introduction to Statistics</t>
  </si>
  <si>
    <t>standard deviation</t>
  </si>
  <si>
    <t>Mean</t>
  </si>
  <si>
    <t>size</t>
  </si>
  <si>
    <t>girls</t>
  </si>
  <si>
    <t>boys</t>
  </si>
  <si>
    <t>Group</t>
  </si>
  <si>
    <t>df</t>
  </si>
  <si>
    <t>mean</t>
  </si>
  <si>
    <t>sd</t>
  </si>
  <si>
    <t>z value</t>
  </si>
  <si>
    <t>critical value</t>
  </si>
  <si>
    <t>Decision</t>
  </si>
  <si>
    <t>if|z|&gt;1.96 Rejected H0</t>
  </si>
  <si>
    <t>step</t>
  </si>
  <si>
    <t>values</t>
  </si>
  <si>
    <t>comment;Since Z = 7.02 &gt; 1.96, H0 is rejected. Girls and boys means are significantly different</t>
  </si>
  <si>
    <t>Category</t>
  </si>
  <si>
    <t>Diagnosed as Cancer</t>
  </si>
  <si>
    <t>Without Cancer</t>
  </si>
  <si>
    <t>Total</t>
  </si>
  <si>
    <t>Smokers</t>
  </si>
  <si>
    <t>Non-Smokers</t>
  </si>
  <si>
    <t>Expected counts</t>
  </si>
  <si>
    <t>Chi-Square Test Statistic</t>
  </si>
  <si>
    <t>chi_square</t>
  </si>
  <si>
    <t>COMMENT;Chi-square value (29.12) is greater than 3.84, so we reject H₀. Smoking and cancer have a significant association.”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</si>
</sst>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36"/>
      <color theme="1"/>
      <name val="Calibri"/>
      <family val="2"/>
      <scheme val="minor"/>
    </font>
    <font>
      <sz val="16"/>
      <color theme="1"/>
      <name val="Calibri"/>
      <family val="2"/>
      <scheme val="minor"/>
    </font>
    <font>
      <sz val="20"/>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0" fontId="3" fillId="0" borderId="1" xfId="0" applyFont="1" applyBorder="1"/>
    <xf numFmtId="0" fontId="3" fillId="0" borderId="0" xfId="0" applyFont="1" applyFill="1" applyBorder="1"/>
    <xf numFmtId="0" fontId="1" fillId="0" borderId="0" xfId="0" applyFont="1" applyAlignment="1">
      <alignment vertical="center"/>
    </xf>
    <xf numFmtId="0" fontId="3" fillId="0"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76201</xdr:colOff>
      <xdr:row>2</xdr:row>
      <xdr:rowOff>19050</xdr:rowOff>
    </xdr:from>
    <xdr:to>
      <xdr:col>9</xdr:col>
      <xdr:colOff>371475</xdr:colOff>
      <xdr:row>6</xdr:row>
      <xdr:rowOff>19050</xdr:rowOff>
    </xdr:to>
    <xdr:sp macro="" textlink="">
      <xdr:nvSpPr>
        <xdr:cNvPr id="2" name="TextBox 1">
          <a:extLst>
            <a:ext uri="{FF2B5EF4-FFF2-40B4-BE49-F238E27FC236}">
              <a16:creationId xmlns:a16="http://schemas.microsoft.com/office/drawing/2014/main" id="{804F35CC-5E81-4A4A-F09A-3082473F134F}"/>
            </a:ext>
          </a:extLst>
        </xdr:cNvPr>
        <xdr:cNvSpPr txBox="1"/>
      </xdr:nvSpPr>
      <xdr:spPr>
        <a:xfrm>
          <a:off x="76201" y="800100"/>
          <a:ext cx="12963524"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Question 1. There is an assumption that there is no significant difference between boys and girls with respect to intelligence. Tests are conducted on two groups and the following are the observations</a:t>
          </a:r>
        </a:p>
      </xdr:txBody>
    </xdr:sp>
    <xdr:clientData/>
  </xdr:twoCellAnchor>
  <xdr:twoCellAnchor>
    <xdr:from>
      <xdr:col>0</xdr:col>
      <xdr:colOff>85725</xdr:colOff>
      <xdr:row>23</xdr:row>
      <xdr:rowOff>228600</xdr:rowOff>
    </xdr:from>
    <xdr:to>
      <xdr:col>5</xdr:col>
      <xdr:colOff>1428750</xdr:colOff>
      <xdr:row>27</xdr:row>
      <xdr:rowOff>95250</xdr:rowOff>
    </xdr:to>
    <xdr:sp macro="" textlink="">
      <xdr:nvSpPr>
        <xdr:cNvPr id="3" name="TextBox 2">
          <a:extLst>
            <a:ext uri="{FF2B5EF4-FFF2-40B4-BE49-F238E27FC236}">
              <a16:creationId xmlns:a16="http://schemas.microsoft.com/office/drawing/2014/main" id="{5A5F5414-6C9B-D8D0-6B1B-864130698DD3}"/>
            </a:ext>
          </a:extLst>
        </xdr:cNvPr>
        <xdr:cNvSpPr txBox="1"/>
      </xdr:nvSpPr>
      <xdr:spPr>
        <a:xfrm>
          <a:off x="85725" y="6515100"/>
          <a:ext cx="9172575" cy="77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Question 2. Analyze the below data and tell whether you can conclude that smoking causes cancer or not?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50600-2BBE-4AC4-8519-2A8CBCB8012C}">
  <dimension ref="A1:T49"/>
  <sheetViews>
    <sheetView tabSelected="1" topLeftCell="A31" workbookViewId="0">
      <selection activeCell="D49" sqref="D49"/>
    </sheetView>
  </sheetViews>
  <sheetFormatPr defaultRowHeight="15" x14ac:dyDescent="0.25"/>
  <cols>
    <col min="1" max="1" width="21.140625" bestFit="1" customWidth="1"/>
    <col min="2" max="2" width="37.85546875" bestFit="1" customWidth="1"/>
    <col min="3" max="3" width="31.42578125" bestFit="1" customWidth="1"/>
    <col min="4" max="4" width="17.85546875" bestFit="1" customWidth="1"/>
    <col min="5" max="5" width="10.5703125" bestFit="1" customWidth="1"/>
    <col min="6" max="6" width="45.140625" bestFit="1" customWidth="1"/>
  </cols>
  <sheetData>
    <row r="1" spans="1:20" ht="46.5" x14ac:dyDescent="0.25">
      <c r="B1" s="5" t="s">
        <v>0</v>
      </c>
      <c r="F1" s="5"/>
      <c r="G1" s="5"/>
      <c r="H1" s="5"/>
      <c r="I1" s="5"/>
      <c r="J1" s="5"/>
      <c r="K1" s="5"/>
    </row>
    <row r="4" spans="1:20" ht="21" x14ac:dyDescent="0.35">
      <c r="A4" s="1"/>
      <c r="B4" s="1"/>
      <c r="C4" s="1"/>
      <c r="D4" s="1"/>
      <c r="E4" s="1"/>
      <c r="F4" s="1"/>
      <c r="G4" s="1"/>
      <c r="H4" s="1"/>
      <c r="I4" s="1"/>
      <c r="J4" s="1"/>
      <c r="K4" s="1"/>
      <c r="L4" s="1"/>
      <c r="M4" s="1"/>
      <c r="N4" s="1"/>
      <c r="O4" s="1"/>
      <c r="P4" s="1"/>
      <c r="Q4" s="1"/>
      <c r="R4" s="1"/>
      <c r="S4" s="1"/>
      <c r="T4" s="1"/>
    </row>
    <row r="9" spans="1:20" ht="26.25" x14ac:dyDescent="0.4">
      <c r="A9" s="3" t="s">
        <v>6</v>
      </c>
      <c r="B9" s="3" t="s">
        <v>2</v>
      </c>
      <c r="C9" s="3" t="s">
        <v>1</v>
      </c>
      <c r="D9" s="3" t="s">
        <v>3</v>
      </c>
    </row>
    <row r="10" spans="1:20" ht="26.25" x14ac:dyDescent="0.4">
      <c r="A10" s="3" t="s">
        <v>4</v>
      </c>
      <c r="B10" s="3">
        <v>89</v>
      </c>
      <c r="C10" s="3">
        <v>4</v>
      </c>
      <c r="D10" s="3">
        <v>50</v>
      </c>
    </row>
    <row r="11" spans="1:20" ht="26.25" x14ac:dyDescent="0.4">
      <c r="A11" s="3" t="s">
        <v>5</v>
      </c>
      <c r="B11" s="3">
        <v>82</v>
      </c>
      <c r="C11" s="3">
        <v>9</v>
      </c>
      <c r="D11" s="3">
        <v>120</v>
      </c>
    </row>
    <row r="13" spans="1:20" ht="26.25" x14ac:dyDescent="0.4">
      <c r="A13" s="4" t="s">
        <v>14</v>
      </c>
      <c r="B13" s="2" t="s">
        <v>15</v>
      </c>
    </row>
    <row r="14" spans="1:20" ht="26.25" x14ac:dyDescent="0.4">
      <c r="A14" s="4" t="s">
        <v>8</v>
      </c>
      <c r="B14" s="2">
        <f>B10-B11</f>
        <v>7</v>
      </c>
    </row>
    <row r="15" spans="1:20" ht="26.25" x14ac:dyDescent="0.4">
      <c r="A15" s="2" t="s">
        <v>9</v>
      </c>
      <c r="B15" s="2">
        <f>SQRT((4^2)/50 + (9^2)/120)</f>
        <v>0.99749686716300023</v>
      </c>
    </row>
    <row r="16" spans="1:20" ht="26.25" x14ac:dyDescent="0.4">
      <c r="A16" s="2" t="s">
        <v>10</v>
      </c>
      <c r="B16" s="2">
        <f>B14/B15</f>
        <v>7.0175658996391963</v>
      </c>
    </row>
    <row r="17" spans="1:4" ht="26.25" x14ac:dyDescent="0.4">
      <c r="A17" s="2" t="s">
        <v>11</v>
      </c>
      <c r="B17" s="2">
        <f>_xlfn.NORM.S.INV(1-0.05/2)</f>
        <v>1.9599639845400536</v>
      </c>
    </row>
    <row r="18" spans="1:4" ht="26.25" x14ac:dyDescent="0.4">
      <c r="A18" s="2" t="s">
        <v>12</v>
      </c>
      <c r="B18" s="2" t="s">
        <v>13</v>
      </c>
      <c r="C18" s="2"/>
    </row>
    <row r="21" spans="1:4" ht="26.25" x14ac:dyDescent="0.4">
      <c r="A21" s="2" t="s">
        <v>16</v>
      </c>
    </row>
    <row r="24" spans="1:4" ht="26.25" x14ac:dyDescent="0.4">
      <c r="A24" s="2"/>
      <c r="B24" s="2"/>
      <c r="C24" s="2"/>
      <c r="D24" s="2"/>
    </row>
    <row r="30" spans="1:4" ht="26.25" x14ac:dyDescent="0.4">
      <c r="A30" s="3" t="s">
        <v>17</v>
      </c>
      <c r="B30" s="3" t="s">
        <v>18</v>
      </c>
      <c r="C30" s="3" t="s">
        <v>19</v>
      </c>
      <c r="D30" s="3" t="s">
        <v>20</v>
      </c>
    </row>
    <row r="31" spans="1:4" ht="26.25" x14ac:dyDescent="0.4">
      <c r="A31" s="3" t="s">
        <v>21</v>
      </c>
      <c r="B31" s="3">
        <v>220</v>
      </c>
      <c r="C31" s="3">
        <v>230</v>
      </c>
      <c r="D31" s="3">
        <f>SUM(B31:C31)</f>
        <v>450</v>
      </c>
    </row>
    <row r="32" spans="1:4" ht="26.25" x14ac:dyDescent="0.4">
      <c r="A32" s="3" t="s">
        <v>22</v>
      </c>
      <c r="B32" s="3">
        <v>350</v>
      </c>
      <c r="C32" s="3">
        <v>640</v>
      </c>
      <c r="D32" s="3">
        <f>SUM(B32:C32)</f>
        <v>990</v>
      </c>
    </row>
    <row r="33" spans="1:6" ht="26.25" x14ac:dyDescent="0.4">
      <c r="A33" s="3" t="s">
        <v>20</v>
      </c>
      <c r="B33" s="3">
        <v>680</v>
      </c>
      <c r="C33" s="3">
        <v>910</v>
      </c>
      <c r="D33" s="3">
        <v>1590</v>
      </c>
    </row>
    <row r="36" spans="1:6" ht="26.25" x14ac:dyDescent="0.4">
      <c r="B36" s="2" t="s">
        <v>23</v>
      </c>
    </row>
    <row r="37" spans="1:6" ht="26.25" x14ac:dyDescent="0.4">
      <c r="A37" s="3" t="s">
        <v>17</v>
      </c>
      <c r="B37" s="3" t="s">
        <v>18</v>
      </c>
      <c r="C37" s="3" t="s">
        <v>19</v>
      </c>
      <c r="D37" s="6"/>
    </row>
    <row r="38" spans="1:6" ht="26.25" x14ac:dyDescent="0.4">
      <c r="A38" s="3" t="s">
        <v>21</v>
      </c>
      <c r="B38" s="3">
        <f>D31*B33/D33</f>
        <v>192.45283018867926</v>
      </c>
      <c r="C38" s="3">
        <f>D31*C33/D33</f>
        <v>257.54716981132077</v>
      </c>
    </row>
    <row r="39" spans="1:6" ht="26.25" x14ac:dyDescent="0.4">
      <c r="A39" s="3" t="s">
        <v>22</v>
      </c>
      <c r="B39" s="3">
        <f>D32*B33/D33</f>
        <v>423.39622641509436</v>
      </c>
      <c r="C39" s="3">
        <f>D32*C33/D33</f>
        <v>566.60377358490564</v>
      </c>
    </row>
    <row r="40" spans="1:6" ht="26.25" x14ac:dyDescent="0.4">
      <c r="A40" s="3" t="s">
        <v>20</v>
      </c>
      <c r="B40" s="3"/>
      <c r="C40" s="3">
        <f t="shared" ref="C39:C40" si="0">(D34*$C$33)/$D$33</f>
        <v>0</v>
      </c>
    </row>
    <row r="42" spans="1:6" ht="26.25" x14ac:dyDescent="0.4">
      <c r="B42" s="2" t="s">
        <v>24</v>
      </c>
    </row>
    <row r="43" spans="1:6" ht="26.25" x14ac:dyDescent="0.4">
      <c r="A43" s="3" t="s">
        <v>17</v>
      </c>
      <c r="B43" s="3" t="s">
        <v>18</v>
      </c>
      <c r="C43" s="3" t="s">
        <v>19</v>
      </c>
    </row>
    <row r="44" spans="1:6" ht="26.25" x14ac:dyDescent="0.4">
      <c r="A44" s="3" t="s">
        <v>21</v>
      </c>
      <c r="B44" s="3">
        <f>((B31-B38)^2)/B38</f>
        <v>3.9430262671106138</v>
      </c>
      <c r="C44" s="3">
        <f>((C31-C38)^2)/C38</f>
        <v>2.9464372105881571</v>
      </c>
      <c r="E44" s="2" t="s">
        <v>7</v>
      </c>
      <c r="F44" s="2">
        <v>1</v>
      </c>
    </row>
    <row r="45" spans="1:6" ht="26.25" x14ac:dyDescent="0.4">
      <c r="A45" s="3" t="s">
        <v>22</v>
      </c>
      <c r="B45" s="3">
        <f>((B32-B39)^2)/B39</f>
        <v>12.723320889247644</v>
      </c>
      <c r="C45" s="3">
        <f>((C32-C39)^2)/C39</f>
        <v>9.5075364886685705</v>
      </c>
      <c r="E45" s="2" t="s">
        <v>25</v>
      </c>
      <c r="F45" s="2">
        <f>SUM(B44:C45)</f>
        <v>29.120320855614985</v>
      </c>
    </row>
    <row r="46" spans="1:6" ht="26.25" x14ac:dyDescent="0.4">
      <c r="A46" s="3" t="s">
        <v>20</v>
      </c>
      <c r="B46" s="3"/>
      <c r="C46" s="3"/>
    </row>
    <row r="49" spans="1:1" ht="26.25" x14ac:dyDescent="0.4">
      <c r="A49" s="4" t="s">
        <v>26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BCS</dc:creator>
  <cp:lastModifiedBy>BCS</cp:lastModifiedBy>
  <dcterms:created xsi:type="dcterms:W3CDTF">2025-12-01T16:33:14Z</dcterms:created>
  <dcterms:modified xsi:type="dcterms:W3CDTF">2025-12-01T18:19:25Z</dcterms:modified>
</cp:coreProperties>
</file>